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abrasher\code\vue-excel-tpp\"/>
    </mc:Choice>
  </mc:AlternateContent>
  <xr:revisionPtr revIDLastSave="0" documentId="8_{918E781C-D8B6-4885-A3DD-A37CDA80D204}" xr6:coauthVersionLast="47" xr6:coauthVersionMax="47" xr10:uidLastSave="{00000000-0000-0000-0000-000000000000}"/>
  <bookViews>
    <workbookView xWindow="-38520" yWindow="-120" windowWidth="38640" windowHeight="21240" tabRatio="812" xr2:uid="{150DFCF3-772B-49B8-A857-150E806183A1}"/>
  </bookViews>
  <sheets>
    <sheet name="Inputs" sheetId="7" r:id="rId1"/>
    <sheet name="Scenarios" sheetId="23" r:id="rId2"/>
    <sheet name="Pond Sizing Estimate Table" sheetId="8" r:id="rId3"/>
    <sheet name="SWMF Types" sheetId="21" r:id="rId4"/>
    <sheet name="Evaluation Factors" sheetId="2" r:id="rId5"/>
    <sheet name="Case Studies" sheetId="3" r:id="rId6"/>
    <sheet name="ProsCons" sheetId="5" r:id="rId7"/>
    <sheet name="QuestionsNotes" sheetId="6" r:id="rId8"/>
    <sheet name="Reference Materials" sheetId="20" r:id="rId9"/>
    <sheet name="SWMF Compiled" sheetId="4" r:id="rId10"/>
    <sheet name="HelperSheet" sheetId="9" r:id="rId11"/>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3" i="23" l="1"/>
  <c r="L3" i="23"/>
  <c r="G6" i="7"/>
  <c r="G7" i="7"/>
  <c r="G5" i="7"/>
  <c r="I4" i="9" l="1"/>
  <c r="I5" i="9"/>
  <c r="I6" i="9"/>
  <c r="E4" i="9"/>
  <c r="E5" i="9"/>
  <c r="E6" i="9"/>
  <c r="E3" i="9"/>
  <c r="D4" i="9"/>
  <c r="D5" i="9"/>
  <c r="D6" i="9"/>
  <c r="D3" i="9"/>
  <c r="C4" i="9"/>
  <c r="C5" i="9"/>
  <c r="C6" i="9"/>
  <c r="C3" i="9"/>
  <c r="B4" i="9"/>
  <c r="B5" i="9"/>
  <c r="B6" i="9"/>
  <c r="B3" i="9"/>
  <c r="F4" i="9" l="1"/>
  <c r="F6" i="9"/>
  <c r="F5" i="9"/>
  <c r="G4" i="9"/>
  <c r="G6" i="9"/>
  <c r="G5" i="9"/>
  <c r="F3" i="9"/>
  <c r="G3" i="9"/>
  <c r="H5" i="9" l="1"/>
  <c r="F6" i="7" s="1"/>
  <c r="J5" i="9" s="1"/>
  <c r="L5" i="9" s="1"/>
  <c r="H6" i="9"/>
  <c r="F7" i="7" s="1"/>
  <c r="H7" i="7" s="1"/>
  <c r="K6" i="9" s="1"/>
  <c r="H4" i="9"/>
  <c r="F5" i="7" s="1"/>
  <c r="H3" i="9"/>
  <c r="F4" i="7" s="1"/>
  <c r="M5" i="9" l="1"/>
  <c r="N5" i="9" s="1"/>
  <c r="I6" i="7" s="1"/>
  <c r="H6" i="7"/>
  <c r="K5" i="9" s="1"/>
  <c r="J4" i="9"/>
  <c r="L4" i="9" s="1"/>
  <c r="H5" i="7"/>
  <c r="J6" i="9"/>
  <c r="L6" i="9" s="1"/>
  <c r="M6" i="9" s="1"/>
  <c r="N6" i="9" s="1"/>
  <c r="I7" i="7" s="1"/>
  <c r="E3" i="23"/>
  <c r="F3" i="23" l="1"/>
  <c r="K4" i="9"/>
  <c r="H3" i="23"/>
  <c r="M3" i="23" s="1"/>
  <c r="G3" i="23"/>
  <c r="M4" i="9"/>
  <c r="N4" i="9" s="1"/>
  <c r="I5" i="7" s="1"/>
  <c r="J5" i="7" s="1"/>
  <c r="I3" i="23" l="1"/>
  <c r="J3" i="23"/>
  <c r="N3" i="23" s="1"/>
  <c r="O3" i="23" s="1"/>
  <c r="P3" i="23" s="1"/>
  <c r="K3" i="23" l="1"/>
</calcChain>
</file>

<file path=xl/sharedStrings.xml><?xml version="1.0" encoding="utf-8"?>
<sst xmlns="http://schemas.openxmlformats.org/spreadsheetml/2006/main" count="189" uniqueCount="170">
  <si>
    <t>Wetlands</t>
  </si>
  <si>
    <t>Hybrid Wetpond / Wetland</t>
  </si>
  <si>
    <t>Wet pond</t>
  </si>
  <si>
    <t>access - machines may need to be craned in</t>
  </si>
  <si>
    <t>safety - proper ventilation and safety plan</t>
  </si>
  <si>
    <t>Evaluation of Underground Stormwater Infiltration Systems</t>
  </si>
  <si>
    <t>https://sustainabletechnologies.ca/app/uploads/2013/03/Infiltration-Chambers-and-Trenches_2013-Final.pdf</t>
  </si>
  <si>
    <t>Drainage Area</t>
  </si>
  <si>
    <t>Capacity</t>
  </si>
  <si>
    <t>https://canada.constructconnect.com/dcn/news/infrastructure/2021/04/mississauga-storm-management-facility-rooted-underground-in-sandalwood-park</t>
  </si>
  <si>
    <t>Site</t>
  </si>
  <si>
    <t>Description</t>
  </si>
  <si>
    <t>Cost</t>
  </si>
  <si>
    <t>Pros</t>
  </si>
  <si>
    <t>Cons</t>
  </si>
  <si>
    <t>unknown effects during the winter</t>
  </si>
  <si>
    <t>South Unionville, Markham</t>
  </si>
  <si>
    <t>Type</t>
  </si>
  <si>
    <t>USDC</t>
  </si>
  <si>
    <t>Could contact stormtrap for an estimate calculator</t>
  </si>
  <si>
    <t>Request Design &amp; Budget | StormTrap</t>
  </si>
  <si>
    <t>drainage area, serviced by the StormTrap® DoubleTrap™ USDC
located approximately 1.4 m beneath a park.</t>
  </si>
  <si>
    <t>Volume (m3)</t>
  </si>
  <si>
    <t>Drawdown Time (hrs)</t>
  </si>
  <si>
    <t>Catchment Area</t>
  </si>
  <si>
    <t>Land Cost</t>
  </si>
  <si>
    <t>ha</t>
  </si>
  <si>
    <t>Outputs</t>
  </si>
  <si>
    <t>Impervious</t>
  </si>
  <si>
    <t>Infiltration Trench</t>
  </si>
  <si>
    <t>Estimated Pond Sizes</t>
  </si>
  <si>
    <t>Storage Volume (m3/ha) for Impervious %</t>
  </si>
  <si>
    <t>Pond volume estimates for enhanced long term 80% ss removal</t>
  </si>
  <si>
    <t>Infiltration Chamber</t>
  </si>
  <si>
    <t>Hybrid</t>
  </si>
  <si>
    <t>Wetpond</t>
  </si>
  <si>
    <t>%</t>
  </si>
  <si>
    <t>Land Area (ha)</t>
  </si>
  <si>
    <t>Vol x1</t>
  </si>
  <si>
    <t>Vol x2</t>
  </si>
  <si>
    <t>Vol y1</t>
  </si>
  <si>
    <t>Vol y2</t>
  </si>
  <si>
    <t>deltax</t>
  </si>
  <si>
    <t>deltay</t>
  </si>
  <si>
    <t>Interpolated Vol</t>
  </si>
  <si>
    <t>Pond Volume Lookup Interpolation</t>
  </si>
  <si>
    <t>X</t>
  </si>
  <si>
    <t>he</t>
  </si>
  <si>
    <t>LA</t>
  </si>
  <si>
    <t>height perm pool</t>
  </si>
  <si>
    <t>perm vol</t>
  </si>
  <si>
    <t>ext det vol</t>
  </si>
  <si>
    <t>Extended Dentention (m3)</t>
  </si>
  <si>
    <t>Permanent Pool Ele. (m)</t>
  </si>
  <si>
    <t>Required Info</t>
  </si>
  <si>
    <t>Land Cost ($)</t>
  </si>
  <si>
    <t>$/ha</t>
  </si>
  <si>
    <t>17-528</t>
  </si>
  <si>
    <t>Service Area (ha)</t>
  </si>
  <si>
    <t>Impervious (%)</t>
  </si>
  <si>
    <t>Pond Area (ha)</t>
  </si>
  <si>
    <t>P. Volume (m3)</t>
  </si>
  <si>
    <t>Ext. Vol (m3)</t>
  </si>
  <si>
    <t>Wet</t>
  </si>
  <si>
    <t>Discharge Rate DD</t>
  </si>
  <si>
    <t>Pond 16</t>
  </si>
  <si>
    <t>Pond 17</t>
  </si>
  <si>
    <t>Pond 17A, contains SWM Shield instead of forebay</t>
  </si>
  <si>
    <t>Notes</t>
  </si>
  <si>
    <t>The MOE requires that each pond have a minimum forebay length to width ratio of 2:1 and a minimum overall length to width ration of 3:1. Since Pond 17A uses a SWM Shield in place of a conventional forebay, the length to width ratio requirement does not apply. The overall length to width ratio for Pond 17A is 4:1.</t>
  </si>
  <si>
    <t>Pond 19</t>
  </si>
  <si>
    <t>Pond 21</t>
  </si>
  <si>
    <t>costs for each pond?</t>
  </si>
  <si>
    <t>Clarification</t>
  </si>
  <si>
    <t>what is meant by prior and post assumption?</t>
  </si>
  <si>
    <t>performance</t>
  </si>
  <si>
    <t>cost</t>
  </si>
  <si>
    <t>socio-economic</t>
  </si>
  <si>
    <t>Factors</t>
  </si>
  <si>
    <t>Stakeholders</t>
  </si>
  <si>
    <t>municipalities</t>
  </si>
  <si>
    <t>developers</t>
  </si>
  <si>
    <t>consultants</t>
  </si>
  <si>
    <t>DUAL- USE UNDERGROUND STORMWATER FACILITIES (decastltd.com)</t>
  </si>
  <si>
    <t>Link</t>
  </si>
  <si>
    <t>Decast Socioeconomic Report "thing"</t>
  </si>
  <si>
    <t>socio-cultural</t>
  </si>
  <si>
    <t>economic valuation</t>
  </si>
  <si>
    <t>property value</t>
  </si>
  <si>
    <t>health and safety risk</t>
  </si>
  <si>
    <t>opportunities for engagement</t>
  </si>
  <si>
    <t>value underground storage with park on top vs pond, benefits renters without a yard</t>
  </si>
  <si>
    <t>aesthetic, existence and use, quantitative, spirtual value</t>
  </si>
  <si>
    <t>97 percent of people prefer underground storage
poorly maintained ponds (i.e. with odours and debris) vs. poorly maintained UG
85 percent say pond is negative value, 82 felt park on top is positive value</t>
  </si>
  <si>
    <t>Demographic – What are the local demographic needs for a facility?</t>
  </si>
  <si>
    <t>Cultural Need – What is the demand for parks and facilities?</t>
  </si>
  <si>
    <t>Criteria from DECAST</t>
  </si>
  <si>
    <t>Access – What is the extent to which cultural groups have access to facilities in the area?</t>
  </si>
  <si>
    <t>Benefits – Will the facility benefit existing and potential users?</t>
  </si>
  <si>
    <t>Socio-Cultural</t>
  </si>
  <si>
    <t>Expression - Would the cultural values of facility users be enhanced?</t>
  </si>
  <si>
    <t>Economic – Are there benefits for non-residents?</t>
  </si>
  <si>
    <t>Socio-Economic</t>
  </si>
  <si>
    <t>Financial Benefit – Is there a potential for economic returns?</t>
  </si>
  <si>
    <t>Aesthetic – What might be the aesthetic value associated with the space?</t>
  </si>
  <si>
    <t>Property Value – Is there potential for improvement?</t>
  </si>
  <si>
    <t>Social Capital – What is the potential for building social capital?</t>
  </si>
  <si>
    <t>User Benefit – What facility fits this community?</t>
  </si>
  <si>
    <t>Health and Safety</t>
  </si>
  <si>
    <t>Risk – What is the potential for an elevated human health risk?</t>
  </si>
  <si>
    <t>Risk - Environmental nuisance?</t>
  </si>
  <si>
    <t>Nuisance – What is the potential?</t>
  </si>
  <si>
    <t>Assess Additional Municipal Objective</t>
  </si>
  <si>
    <t>Other Disciplines – Operations, Engineering, etc.</t>
  </si>
  <si>
    <t>Contribution – Is the facility filling a gap/deficit? Will it contribute infrastructure?</t>
  </si>
  <si>
    <t>Underground Storage</t>
  </si>
  <si>
    <t>Examples</t>
  </si>
  <si>
    <t>Cultec, Stormtech, Decast</t>
  </si>
  <si>
    <t>Dry pond on top, tank underneath</t>
  </si>
  <si>
    <t>quality control underground, flood control above ground</t>
  </si>
  <si>
    <t>minor system pond, major system pond</t>
  </si>
  <si>
    <t>pumped systems / controlled systems / constant release rate systems / thirsty-duck.com</t>
  </si>
  <si>
    <t>oversizes pipes / superpipes</t>
  </si>
  <si>
    <t>Costs</t>
  </si>
  <si>
    <t xml:space="preserve">excavation, materials, </t>
  </si>
  <si>
    <t>Old Sheppard Park</t>
  </si>
  <si>
    <t>North York, under a park</t>
  </si>
  <si>
    <t>Name</t>
  </si>
  <si>
    <t>Value</t>
  </si>
  <si>
    <t>Unit</t>
  </si>
  <si>
    <t>$/m3</t>
  </si>
  <si>
    <t>Pond Maintenance Cost</t>
  </si>
  <si>
    <t>USDC Maintenance Cost</t>
  </si>
  <si>
    <t>Scenario #</t>
  </si>
  <si>
    <t>Pond handles extended detention</t>
  </si>
  <si>
    <t>USDC handles extended detention</t>
  </si>
  <si>
    <t>Calculation</t>
  </si>
  <si>
    <t>Legend</t>
  </si>
  <si>
    <t>Input - Required</t>
  </si>
  <si>
    <t>Permanent Volume (m3)</t>
  </si>
  <si>
    <t>Extended Volume (m3)</t>
  </si>
  <si>
    <t>Total
Volume (m3)</t>
  </si>
  <si>
    <t>Extended Detention as percent</t>
  </si>
  <si>
    <t>Extended Detention (%)</t>
  </si>
  <si>
    <t>Height Perm Pool</t>
  </si>
  <si>
    <t>m</t>
  </si>
  <si>
    <t>Height Perm Pool (m)</t>
  </si>
  <si>
    <t>Ext. Vol Pond
Vol. (m3)</t>
  </si>
  <si>
    <t>Pond Perm. 
Vol. (m3)</t>
  </si>
  <si>
    <t>Could have perm % and extended vol %</t>
  </si>
  <si>
    <t>why do ponds have to be have water? For constant water downstream? For SS removal?</t>
  </si>
  <si>
    <t>Pond Perm Vol. (%)</t>
  </si>
  <si>
    <t>Pond Ext. Vol (%)</t>
  </si>
  <si>
    <t>Reference Cell</t>
  </si>
  <si>
    <t>Land Cost ($/ha)</t>
  </si>
  <si>
    <t>Can be overwritten with custom value</t>
  </si>
  <si>
    <t>Pond Land Area (ha)</t>
  </si>
  <si>
    <t>USDC Ext. Vol (m3)</t>
  </si>
  <si>
    <t>USDC Perm. Vol (m3)</t>
  </si>
  <si>
    <t>Pond Land Cost ($)</t>
  </si>
  <si>
    <t>Land Cost Saved ($)</t>
  </si>
  <si>
    <t>Sized USDC extended detention based on MOE infiltration trench</t>
  </si>
  <si>
    <t>Costs Info Required</t>
  </si>
  <si>
    <t>Cost per unit of storage for pond and usdc</t>
  </si>
  <si>
    <t>Cost per unit of drainage area</t>
  </si>
  <si>
    <t>area factors</t>
  </si>
  <si>
    <t>water table</t>
  </si>
  <si>
    <t>ease of access</t>
  </si>
  <si>
    <t>Cut cost</t>
  </si>
  <si>
    <t>Fill costs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</si>
</sst>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0.00"/>
    <numFmt numFmtId="165" formatCode="0.000"/>
    <numFmt numFmtId="166" formatCode="0.0"/>
    <numFmt numFmtId="167" formatCode="_-[$$-1009]* #,##0_-;\-[$$-1009]* #,##0_-;_-[$$-1009]* &quot;-&quot;??_-;_-@_-"/>
  </numFmts>
  <fonts count="11" x14ac:knownFonts="1">
    <font>
      <sz val="11"/>
      <color theme="1"/>
      <name val="Calibri"/>
      <family val="2"/>
      <scheme val="minor"/>
    </font>
    <font>
      <u/>
      <sz val="11"/>
      <color theme="10"/>
      <name val="Calibri"/>
      <family val="2"/>
      <scheme val="minor"/>
    </font>
    <font>
      <sz val="11"/>
      <color theme="1"/>
      <name val="Calibri"/>
      <family val="2"/>
      <scheme val="minor"/>
    </font>
    <font>
      <sz val="11"/>
      <color rgb="FF3F3F76"/>
      <name val="Calibri"/>
      <family val="2"/>
      <scheme val="minor"/>
    </font>
    <font>
      <b/>
      <sz val="11"/>
      <color rgb="FFFA7D00"/>
      <name val="Calibri"/>
      <family val="2"/>
      <scheme val="minor"/>
    </font>
    <font>
      <b/>
      <sz val="11"/>
      <color theme="1"/>
      <name val="Calibri"/>
      <family val="2"/>
      <scheme val="minor"/>
    </font>
    <font>
      <sz val="16"/>
      <color theme="1"/>
      <name val="Calibri"/>
      <family val="2"/>
      <scheme val="minor"/>
    </font>
    <font>
      <sz val="11"/>
      <color rgb="FF9C5700"/>
      <name val="Calibri"/>
      <family val="2"/>
      <scheme val="minor"/>
    </font>
    <font>
      <b/>
      <sz val="14"/>
      <color theme="1"/>
      <name val="Calibri"/>
      <family val="2"/>
      <scheme val="minor"/>
    </font>
    <font>
      <sz val="11"/>
      <color theme="1" tint="0.249977111117893"/>
      <name val="Calibri"/>
      <family val="2"/>
      <scheme val="minor"/>
    </font>
    <font>
      <sz val="11"/>
      <color rgb="FF000000"/>
      <name val="Calibri"/>
      <family val="2"/>
    </font>
  </fonts>
  <fills count="8">
    <fill>
      <patternFill patternType="none"/>
    </fill>
    <fill>
      <patternFill patternType="gray125"/>
    </fill>
    <fill>
      <patternFill patternType="solid">
        <fgColor rgb="FFFFCC99"/>
      </patternFill>
    </fill>
    <fill>
      <patternFill patternType="solid">
        <fgColor rgb="FFF2F2F2"/>
      </patternFill>
    </fill>
    <fill>
      <patternFill patternType="solid">
        <fgColor rgb="FFFFEB9C"/>
      </patternFill>
    </fill>
    <fill>
      <patternFill patternType="solid">
        <fgColor theme="8" tint="0.39997558519241921"/>
        <bgColor indexed="65"/>
      </patternFill>
    </fill>
    <fill>
      <patternFill patternType="solid">
        <fgColor theme="0" tint="-0.14999847407452621"/>
        <bgColor indexed="64"/>
      </patternFill>
    </fill>
    <fill>
      <patternFill patternType="solid">
        <fgColor theme="4"/>
        <bgColor indexed="64"/>
      </patternFill>
    </fill>
  </fills>
  <borders count="6">
    <border>
      <left/>
      <right/>
      <top/>
      <bottom/>
      <diagonal/>
    </border>
    <border>
      <left style="thin">
        <color rgb="FF7F7F7F"/>
      </left>
      <right style="thin">
        <color rgb="FF7F7F7F"/>
      </right>
      <top style="thin">
        <color rgb="FF7F7F7F"/>
      </top>
      <bottom style="thin">
        <color rgb="FF7F7F7F"/>
      </bottom>
      <diagonal/>
    </border>
    <border>
      <left style="thin">
        <color rgb="FF7F7F7F"/>
      </left>
      <right style="thin">
        <color rgb="FF7F7F7F"/>
      </right>
      <top style="thin">
        <color rgb="FF7F7F7F"/>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rgb="FF7F7F7F"/>
      </left>
      <right/>
      <top/>
      <bottom/>
      <diagonal/>
    </border>
  </borders>
  <cellStyleXfs count="8">
    <xf numFmtId="0" fontId="0" fillId="0" borderId="0"/>
    <xf numFmtId="0" fontId="1" fillId="0" borderId="0" applyNumberFormat="0" applyFill="0" applyBorder="0" applyAlignment="0" applyProtection="0"/>
    <xf numFmtId="9" fontId="2" fillId="0" borderId="0" applyFont="0" applyFill="0" applyBorder="0" applyAlignment="0" applyProtection="0"/>
    <xf numFmtId="0" fontId="3" fillId="2" borderId="1" applyNumberFormat="0" applyAlignment="0" applyProtection="0"/>
    <xf numFmtId="0" fontId="4" fillId="3" borderId="1" applyNumberFormat="0" applyAlignment="0" applyProtection="0"/>
    <xf numFmtId="0" fontId="7" fillId="4" borderId="0" applyNumberFormat="0" applyBorder="0" applyAlignment="0" applyProtection="0"/>
    <xf numFmtId="0" fontId="2" fillId="5" borderId="0" applyNumberFormat="0" applyBorder="0" applyAlignment="0" applyProtection="0"/>
    <xf numFmtId="0" fontId="9" fillId="5" borderId="3"/>
  </cellStyleXfs>
  <cellXfs count="40">
    <xf numFmtId="0" fontId="0" fillId="0" borderId="0" xfId="0"/>
    <xf numFmtId="0" fontId="1" fillId="0" borderId="0" xfId="1"/>
    <xf numFmtId="0" fontId="0" fillId="0" borderId="0" xfId="0" applyAlignment="1">
      <alignment wrapText="1"/>
    </xf>
    <xf numFmtId="0" fontId="0" fillId="0" borderId="0" xfId="0" applyAlignment="1">
      <alignment horizontal="center"/>
    </xf>
    <xf numFmtId="2" fontId="0" fillId="0" borderId="0" xfId="2" applyNumberFormat="1" applyFont="1"/>
    <xf numFmtId="1" fontId="0" fillId="0" borderId="0" xfId="0" applyNumberFormat="1"/>
    <xf numFmtId="1" fontId="4" fillId="3" borderId="1" xfId="4" applyNumberFormat="1"/>
    <xf numFmtId="0" fontId="4" fillId="3" borderId="1" xfId="4"/>
    <xf numFmtId="1" fontId="3" fillId="2" borderId="1" xfId="3" applyNumberFormat="1"/>
    <xf numFmtId="0" fontId="3" fillId="2" borderId="1" xfId="3"/>
    <xf numFmtId="164" fontId="0" fillId="0" borderId="0" xfId="0" applyNumberFormat="1"/>
    <xf numFmtId="0" fontId="6" fillId="0" borderId="0" xfId="0" applyFont="1"/>
    <xf numFmtId="0" fontId="5" fillId="0" borderId="0" xfId="0" applyFont="1"/>
    <xf numFmtId="0" fontId="0" fillId="0" borderId="0" xfId="0" applyAlignment="1">
      <alignment horizontal="left" indent="2"/>
    </xf>
    <xf numFmtId="0" fontId="0" fillId="0" borderId="0" xfId="0" applyAlignment="1">
      <alignment horizontal="left"/>
    </xf>
    <xf numFmtId="0" fontId="0" fillId="0" borderId="0" xfId="0" applyBorder="1"/>
    <xf numFmtId="164" fontId="3" fillId="2" borderId="2" xfId="3" applyNumberFormat="1" applyBorder="1"/>
    <xf numFmtId="0" fontId="3" fillId="2" borderId="2" xfId="3" applyBorder="1"/>
    <xf numFmtId="0" fontId="0" fillId="6" borderId="0" xfId="0" applyFill="1"/>
    <xf numFmtId="0" fontId="8" fillId="6" borderId="0" xfId="0" applyFont="1" applyFill="1"/>
    <xf numFmtId="0" fontId="0" fillId="0" borderId="0" xfId="0" applyAlignment="1">
      <alignment horizontal="left" wrapText="1"/>
    </xf>
    <xf numFmtId="0" fontId="9" fillId="5" borderId="3" xfId="7"/>
    <xf numFmtId="166" fontId="3" fillId="2" borderId="1" xfId="3" applyNumberFormat="1"/>
    <xf numFmtId="165" fontId="4" fillId="3" borderId="1" xfId="4" applyNumberFormat="1"/>
    <xf numFmtId="2" fontId="4" fillId="3" borderId="1" xfId="4" applyNumberFormat="1"/>
    <xf numFmtId="166" fontId="4" fillId="3" borderId="1" xfId="4" applyNumberFormat="1"/>
    <xf numFmtId="9" fontId="3" fillId="2" borderId="1" xfId="3" applyNumberFormat="1"/>
    <xf numFmtId="1" fontId="9" fillId="5" borderId="3" xfId="7" applyNumberFormat="1"/>
    <xf numFmtId="0" fontId="7" fillId="4" borderId="0" xfId="5"/>
    <xf numFmtId="0" fontId="9" fillId="5" borderId="4" xfId="6" applyFont="1" applyBorder="1" applyAlignment="1"/>
    <xf numFmtId="0" fontId="0" fillId="7" borderId="0" xfId="0" applyFill="1"/>
    <xf numFmtId="0" fontId="7" fillId="4" borderId="3" xfId="5" applyBorder="1"/>
    <xf numFmtId="167" fontId="4" fillId="3" borderId="1" xfId="4" applyNumberFormat="1"/>
    <xf numFmtId="0" fontId="0" fillId="0" borderId="0" xfId="0" applyAlignment="1">
      <alignment horizontal="center"/>
    </xf>
    <xf numFmtId="0" fontId="4" fillId="3" borderId="5" xfId="4" applyBorder="1" applyAlignment="1"/>
    <xf numFmtId="0" fontId="4" fillId="3" borderId="0" xfId="4" applyBorder="1" applyAlignment="1"/>
    <xf numFmtId="0" fontId="3" fillId="2" borderId="5" xfId="3" applyBorder="1" applyAlignment="1"/>
    <xf numFmtId="0" fontId="3" fillId="2" borderId="0" xfId="3" applyBorder="1" applyAlignment="1"/>
    <xf numFmtId="0" fontId="9" fillId="5" borderId="0" xfId="6" applyFont="1" applyBorder="1" applyAlignment="1"/>
    <xf numFmtId="0" fontId="7" fillId="4" borderId="0" xfId="5" applyAlignment="1"/>
  </cellXfs>
  <cellStyles count="8">
    <cellStyle name="60% - Accent5" xfId="6" builtinId="48"/>
    <cellStyle name="Calculation" xfId="4" builtinId="22"/>
    <cellStyle name="Hyperlink" xfId="1" builtinId="8"/>
    <cellStyle name="Input" xfId="3" builtinId="20"/>
    <cellStyle name="Neutral" xfId="5" builtinId="28"/>
    <cellStyle name="Normal" xfId="0" builtinId="0"/>
    <cellStyle name="Percent" xfId="2" builtinId="5"/>
    <cellStyle name="Reference Cell" xfId="7" xr:uid="{59408B2B-A33F-4D74-AB9B-98B2C27B0089}"/>
  </cellStyles>
  <dxfs count="14">
    <dxf>
      <border outline="0">
        <left style="thin">
          <color rgb="FF7F7F7F"/>
        </left>
      </border>
    </dxf>
    <dxf>
      <numFmt numFmtId="167" formatCode="_-[$$-1009]* #,##0_-;\-[$$-1009]* #,##0_-;_-[$$-1009]* &quot;-&quot;??_-;_-@_-"/>
    </dxf>
    <dxf>
      <numFmt numFmtId="165" formatCode="0.000"/>
      <border>
        <right style="thin">
          <color rgb="FF7F7F7F"/>
        </right>
      </border>
    </dxf>
    <dxf>
      <numFmt numFmtId="2" formatCode="0.00"/>
      <border>
        <right style="thin">
          <color rgb="FF7F7F7F"/>
        </right>
      </border>
    </dxf>
    <dxf>
      <numFmt numFmtId="166" formatCode="0.0"/>
    </dxf>
    <dxf>
      <numFmt numFmtId="1" formatCode="0"/>
    </dxf>
    <dxf>
      <numFmt numFmtId="1" formatCode="0"/>
    </dxf>
    <dxf>
      <numFmt numFmtId="1" formatCode="0"/>
    </dxf>
    <dxf>
      <numFmt numFmtId="1" formatCode="0"/>
    </dxf>
    <dxf>
      <numFmt numFmtId="1" formatCode="0"/>
    </dxf>
    <dxf>
      <numFmt numFmtId="1" formatCode="0"/>
    </dxf>
    <dxf>
      <numFmt numFmtId="13" formatCode="0%"/>
    </dxf>
    <dxf>
      <numFmt numFmtId="13" formatCode="0%"/>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14</xdr:col>
      <xdr:colOff>581025</xdr:colOff>
      <xdr:row>39</xdr:row>
      <xdr:rowOff>66675</xdr:rowOff>
    </xdr:from>
    <xdr:to>
      <xdr:col>27</xdr:col>
      <xdr:colOff>296341</xdr:colOff>
      <xdr:row>52</xdr:row>
      <xdr:rowOff>38442</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3468350" y="7496175"/>
          <a:ext cx="7640116" cy="24482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0</xdr:row>
          <xdr:rowOff>47625</xdr:rowOff>
        </xdr:from>
        <xdr:to>
          <xdr:col>1</xdr:col>
          <xdr:colOff>466725</xdr:colOff>
          <xdr:row>0</xdr:row>
          <xdr:rowOff>361950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Scenario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11</xdr:col>
      <xdr:colOff>495300</xdr:colOff>
      <xdr:row>2</xdr:row>
      <xdr:rowOff>85725</xdr:rowOff>
    </xdr:from>
    <xdr:to>
      <xdr:col>21</xdr:col>
      <xdr:colOff>257993</xdr:colOff>
      <xdr:row>43</xdr:row>
      <xdr:rowOff>77289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0344150" y="466725"/>
          <a:ext cx="5858693" cy="78020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285750</xdr:colOff>
      <xdr:row>34</xdr:row>
      <xdr:rowOff>9525</xdr:rowOff>
    </xdr:from>
    <xdr:to>
      <xdr:col>29</xdr:col>
      <xdr:colOff>391816</xdr:colOff>
      <xdr:row>61</xdr:row>
      <xdr:rowOff>19769</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7430750" y="6486525"/>
          <a:ext cx="9250066" cy="5153744"/>
        </a:xfrm>
        <a:prstGeom prst="rect">
          <a:avLst/>
        </a:prstGeom>
      </xdr:spPr>
    </xdr:pic>
    <xdr:clientData/>
  </xdr:twoCellAnchor>
  <xdr:twoCellAnchor editAs="oneCell">
    <xdr:from>
      <xdr:col>14</xdr:col>
      <xdr:colOff>514350</xdr:colOff>
      <xdr:row>0</xdr:row>
      <xdr:rowOff>114300</xdr:rowOff>
    </xdr:from>
    <xdr:to>
      <xdr:col>26</xdr:col>
      <xdr:colOff>258160</xdr:colOff>
      <xdr:row>33</xdr:row>
      <xdr:rowOff>172335</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17659350" y="114300"/>
          <a:ext cx="7059010" cy="634453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52CF825-5B7D-47D4-8FBD-2DD1E0202449}" name="Table1" displayName="Table1" ref="A1:C8" totalsRowShown="0">
  <autoFilter ref="A1:C8" xr:uid="{952CF825-5B7D-47D4-8FBD-2DD1E0202449}"/>
  <tableColumns count="3">
    <tableColumn id="1" xr3:uid="{502D224D-31D4-4B1D-800D-CA01B83D5711}" name="Name"/>
    <tableColumn id="2" xr3:uid="{B7D6E54C-D206-48CB-9DA5-0C695F3D4844}" name="Value" dataCellStyle="Input"/>
    <tableColumn id="3" xr3:uid="{120B7260-8438-4690-A383-1A976F85E401}" name="Uni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362B646-1F7E-4261-AB82-0E853516775F}" name="ScenarioTable" displayName="ScenarioTable" ref="A2:Q3" totalsRowShown="0" headerRowDxfId="13" dataCellStyle="Calculation">
  <autoFilter ref="A2:Q3" xr:uid="{7362B646-1F7E-4261-AB82-0E853516775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F7BA4763-1823-4E82-8D0D-7BFC08AAC25A}" name="Scenario #"/>
    <tableColumn id="2" xr3:uid="{7F86AD59-A857-4272-B594-0D25AA1E041E}" name="Land Cost ($/ha)" dataCellStyle="Neutral">
      <calculatedColumnFormula>Inputs!$B$4</calculatedColumnFormula>
    </tableColumn>
    <tableColumn id="3" xr3:uid="{E4CCFCAE-7674-42EF-A95D-362C3CB0CD83}" name="Pond Perm Vol. (%)" dataDxfId="12" dataCellStyle="Input"/>
    <tableColumn id="4" xr3:uid="{E9653BEF-3FD5-458C-A45C-94AB44F5AA39}" name="Pond Ext. Vol (%)" dataDxfId="11" dataCellStyle="Input"/>
    <tableColumn id="5" xr3:uid="{03499252-25DD-479F-8018-7A6249E19462}" name="Permanent Volume (m3)" dataDxfId="10" dataCellStyle="Reference Cell">
      <calculatedColumnFormula>Inputs!$F$7</calculatedColumnFormula>
    </tableColumn>
    <tableColumn id="6" xr3:uid="{9BF32331-8414-4B83-A1DD-4DCB091EB9A2}" name="Extended Volume (m3)" dataCellStyle="Reference Cell">
      <calculatedColumnFormula>Inputs!$H$5</calculatedColumnFormula>
    </tableColumn>
    <tableColumn id="7" xr3:uid="{BDDAED86-7670-4E2C-8489-03A54FDEC824}" name="Total_x000a_Volume (m3)" dataDxfId="9" dataCellStyle="Calculation">
      <calculatedColumnFormula>ScenarioTable[[#This Row],[Permanent Volume (m3)]]+ScenarioTable[[#This Row],[Extended Volume (m3)]]</calculatedColumnFormula>
    </tableColumn>
    <tableColumn id="8" xr3:uid="{D6D27A46-CFC5-4FA8-BF6F-F3DF171940B6}" name="Pond Perm. _x000a_Vol. (m3)" dataDxfId="8" dataCellStyle="Calculation">
      <calculatedColumnFormula>ScenarioTable[[#This Row],[Pond Perm Vol. (%)]]*ScenarioTable[[#This Row],[Permanent Volume (m3)]]</calculatedColumnFormula>
    </tableColumn>
    <tableColumn id="9" xr3:uid="{29E94378-5A54-4334-8B97-2DFFAFB8A0C2}" name="USDC Perm. Vol (m3)" dataDxfId="7" dataCellStyle="Calculation">
      <calculatedColumnFormula>ScenarioTable[[#This Row],[Permanent Volume (m3)]]-ScenarioTable[[#This Row],[Pond Perm. 
Vol. (m3)]]</calculatedColumnFormula>
    </tableColumn>
    <tableColumn id="10" xr3:uid="{DC85823F-8F40-4E6C-AC44-FA2FB93F27E4}" name="Ext. Vol Pond_x000a_Vol. (m3)" dataDxfId="6" dataCellStyle="Calculation">
      <calculatedColumnFormula>ScenarioTable[[#This Row],[Pond Ext. Vol (%)]]*ScenarioTable[[#This Row],[Extended Volume (m3)]]</calculatedColumnFormula>
    </tableColumn>
    <tableColumn id="11" xr3:uid="{F2FFEF82-AD41-4A8B-B051-07991BD201DF}" name="USDC Ext. Vol (m3)" dataDxfId="5" dataCellStyle="Calculation">
      <calculatedColumnFormula>ScenarioTable[[#This Row],[Extended Volume (m3)]]-ScenarioTable[[#This Row],[Ext. Vol Pond
Vol. (m3)]]</calculatedColumnFormula>
    </tableColumn>
    <tableColumn id="12" xr3:uid="{07B103D7-0B42-4153-A850-830195BCAF1C}" name="Height Perm Pool (m)" dataCellStyle="Neutral">
      <calculatedColumnFormula>Inputs!$B$8</calculatedColumnFormula>
    </tableColumn>
    <tableColumn id="13" xr3:uid="{C75EE2C9-89FE-4A2F-B933-E1840C8C6CB4}" name="X" dataDxfId="4" dataCellStyle="Calculation">
      <calculatedColumnFormula>(SQRT(256*(L3^4)-((12*L3)*((64/3)*(L3^3)-H3)))-(16*(L3^2)))/(6*L3)</calculatedColumnFormula>
    </tableColumn>
    <tableColumn id="14" xr3:uid="{4E52F928-8077-446E-B076-FB0DB9E22C6E}" name="he" dataDxfId="3" dataCellStyle="Calculation">
      <calculatedColumnFormula>(SQRT(((M3+(8*L3))^2)*((3*M3+(8*L3))^2)+(20*((3*M3)+(8*L3))*J3))/(10*((3*M3)+(8*L3))))-((M3+(8*L3))/10)</calculatedColumnFormula>
    </tableColumn>
    <tableColumn id="15" xr3:uid="{DF936C1B-A1FB-40C3-A12E-9E584C91CA40}" name="Pond Land Area (ha)" dataDxfId="2" dataCellStyle="Calculation">
      <calculatedColumnFormula>(M3+(8*L3)+(10*N3))*((3*M3)+(8*L3)+(10*N3))/1000</calculatedColumnFormula>
    </tableColumn>
    <tableColumn id="16" xr3:uid="{A84B5DC5-CC79-4551-97C8-76EF4BC6D3D8}" name="Pond Land Cost ($)" dataDxfId="1" dataCellStyle="Calculation">
      <calculatedColumnFormula>ScenarioTable[[#This Row],[Land Cost ($/ha)]]*ScenarioTable[[#This Row],[Pond Land Area (ha)]]</calculatedColumnFormula>
    </tableColumn>
    <tableColumn id="17" xr3:uid="{9F77FA30-C599-4F5D-959F-0FED5A6713F9}" name="Land Cost Saved ($)" dataDxfId="0" dataCellStyle="Calculatio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32E015-694F-4E29-90AE-A890B0DB1DD1}">
  <we:reference id="wa200002346" version="1.1.0.0" store="en-US" storeType="OMEX"/>
  <we:alternateReferences>
    <we:reference id="wa200002346" version="1.1.0.0" store="WA200002346"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table" Target="../tables/table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anada.constructconnect.com/dcn/news/infrastructure/2021/04/mississauga-storm-management-facility-rooted-underground-in-sandalwood-park" TargetMode="External"/><Relationship Id="rId1" Type="http://schemas.openxmlformats.org/officeDocument/2006/relationships/hyperlink" Target="https://sustainabletechnologies.ca/app/uploads/2013/03/Infiltration-Chambers-and-Trenches_2013-Final.pdf"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s://stormtrap.com/request-design-budget-form/"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decastltd.com/uploads/1653507522_Final%20Decast%20Report.pdf"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24C078-D562-4BF4-9D7B-5ADAAD9E1B9B}">
  <sheetPr codeName="Sheet1"/>
  <dimension ref="A1:J30"/>
  <sheetViews>
    <sheetView tabSelected="1" workbookViewId="0">
      <selection activeCell="A12" sqref="A12"/>
    </sheetView>
  </sheetViews>
  <sheetFormatPr defaultRowHeight="15" x14ac:dyDescent="0.25"/>
  <cols>
    <col min="1" max="1" width="22.28515625" bestFit="1" customWidth="1"/>
    <col min="2" max="2" width="11.140625" bestFit="1" customWidth="1"/>
    <col min="5" max="5" width="25.28515625" bestFit="1" customWidth="1"/>
    <col min="6" max="6" width="12.5703125" bestFit="1" customWidth="1"/>
    <col min="7" max="7" width="23" bestFit="1" customWidth="1"/>
    <col min="8" max="8" width="25" bestFit="1" customWidth="1"/>
    <col min="9" max="9" width="13.85546875" bestFit="1" customWidth="1"/>
    <col min="10" max="10" width="12.28515625" bestFit="1" customWidth="1"/>
  </cols>
  <sheetData>
    <row r="1" spans="1:10" x14ac:dyDescent="0.25">
      <c r="A1" t="s">
        <v>127</v>
      </c>
      <c r="B1" t="s">
        <v>128</v>
      </c>
      <c r="C1" t="s">
        <v>129</v>
      </c>
      <c r="E1" t="s">
        <v>27</v>
      </c>
    </row>
    <row r="2" spans="1:10" x14ac:dyDescent="0.25">
      <c r="A2" t="s">
        <v>24</v>
      </c>
      <c r="B2" s="9">
        <v>10</v>
      </c>
      <c r="C2" t="s">
        <v>26</v>
      </c>
      <c r="E2" s="33" t="s">
        <v>30</v>
      </c>
      <c r="F2" s="33"/>
      <c r="G2" s="33"/>
      <c r="H2" s="33"/>
      <c r="I2" s="33"/>
    </row>
    <row r="3" spans="1:10" x14ac:dyDescent="0.25">
      <c r="A3" t="s">
        <v>28</v>
      </c>
      <c r="B3" s="9">
        <v>40</v>
      </c>
      <c r="C3" t="s">
        <v>36</v>
      </c>
      <c r="E3" t="s">
        <v>17</v>
      </c>
      <c r="F3" t="s">
        <v>22</v>
      </c>
      <c r="G3" t="s">
        <v>53</v>
      </c>
      <c r="H3" t="s">
        <v>52</v>
      </c>
      <c r="I3" t="s">
        <v>37</v>
      </c>
      <c r="J3" t="s">
        <v>55</v>
      </c>
    </row>
    <row r="4" spans="1:10" x14ac:dyDescent="0.25">
      <c r="A4" s="15" t="s">
        <v>25</v>
      </c>
      <c r="B4" s="16">
        <v>200000</v>
      </c>
      <c r="C4" s="15" t="s">
        <v>56</v>
      </c>
      <c r="E4" t="s">
        <v>33</v>
      </c>
      <c r="F4" s="6">
        <f>$B$2*HelperSheet!H3</f>
        <v>362.5</v>
      </c>
      <c r="G4" s="8"/>
      <c r="H4" s="6"/>
      <c r="I4" s="7"/>
    </row>
    <row r="5" spans="1:10" x14ac:dyDescent="0.25">
      <c r="A5" s="15" t="s">
        <v>131</v>
      </c>
      <c r="B5" s="17"/>
      <c r="C5" s="15" t="s">
        <v>130</v>
      </c>
      <c r="E5" t="s">
        <v>0</v>
      </c>
      <c r="F5" s="6">
        <f>$B$2*HelperSheet!H4</f>
        <v>412.5</v>
      </c>
      <c r="G5" s="22">
        <f>$B$8</f>
        <v>1.5</v>
      </c>
      <c r="H5" s="6">
        <f>$B$7 * F5 / 100</f>
        <v>123.75</v>
      </c>
      <c r="I5" s="7">
        <f>HelperSheet!N4/1000</f>
        <v>0.61660291178479476</v>
      </c>
      <c r="J5" s="10">
        <f>I5*B10</f>
        <v>0</v>
      </c>
    </row>
    <row r="6" spans="1:10" x14ac:dyDescent="0.25">
      <c r="A6" s="15" t="s">
        <v>132</v>
      </c>
      <c r="B6" s="17"/>
      <c r="C6" s="15" t="s">
        <v>130</v>
      </c>
      <c r="E6" t="s">
        <v>34</v>
      </c>
      <c r="F6" s="6">
        <f>$B$2*HelperSheet!H5</f>
        <v>450</v>
      </c>
      <c r="G6" s="22">
        <f t="shared" ref="G6:G7" si="0">$B$8</f>
        <v>1.5</v>
      </c>
      <c r="H6" s="6">
        <f>$B$7 * F6 / 100</f>
        <v>135</v>
      </c>
      <c r="I6" s="7">
        <f>HelperSheet!N5/1000</f>
        <v>0.65816387939250953</v>
      </c>
    </row>
    <row r="7" spans="1:10" x14ac:dyDescent="0.25">
      <c r="A7" s="15" t="s">
        <v>143</v>
      </c>
      <c r="B7" s="9">
        <v>30</v>
      </c>
      <c r="C7" s="15" t="s">
        <v>36</v>
      </c>
      <c r="E7" t="s">
        <v>35</v>
      </c>
      <c r="F7" s="6">
        <f>$B$2*HelperSheet!H6</f>
        <v>475</v>
      </c>
      <c r="G7" s="22">
        <f t="shared" si="0"/>
        <v>1.5</v>
      </c>
      <c r="H7" s="6">
        <f>$B$7 * F7 / 100</f>
        <v>142.5</v>
      </c>
      <c r="I7" s="7">
        <f>HelperSheet!N6/1000</f>
        <v>0.68551833192956246</v>
      </c>
    </row>
    <row r="8" spans="1:10" x14ac:dyDescent="0.25">
      <c r="A8" s="15" t="s">
        <v>144</v>
      </c>
      <c r="B8" s="17">
        <v>1.5</v>
      </c>
      <c r="C8" s="15" t="s">
        <v>145</v>
      </c>
    </row>
    <row r="10" spans="1:10" x14ac:dyDescent="0.25">
      <c r="B10" s="10"/>
    </row>
    <row r="11" spans="1:10" x14ac:dyDescent="0.25">
      <c r="A11" t="s">
        <v>162</v>
      </c>
    </row>
    <row r="12" spans="1:10" x14ac:dyDescent="0.25">
      <c r="A12" t="s">
        <v>163</v>
      </c>
    </row>
    <row r="13" spans="1:10" x14ac:dyDescent="0.25">
      <c r="A13" t="s">
        <v>164</v>
      </c>
    </row>
    <row r="14" spans="1:10" x14ac:dyDescent="0.25">
      <c r="A14" t="s">
        <v>168</v>
      </c>
    </row>
    <row r="15" spans="1:10" x14ac:dyDescent="0.25">
      <c r="A15" t="s">
        <v>169</v>
      </c>
    </row>
    <row r="22" spans="1:7" x14ac:dyDescent="0.25">
      <c r="A22" s="18"/>
      <c r="B22" s="18"/>
      <c r="C22" s="18"/>
      <c r="D22" s="18"/>
      <c r="E22" s="18"/>
      <c r="F22" s="18"/>
      <c r="G22" s="18"/>
    </row>
    <row r="23" spans="1:7" ht="18.75" x14ac:dyDescent="0.3">
      <c r="A23" s="19" t="s">
        <v>137</v>
      </c>
      <c r="B23" s="18"/>
      <c r="C23" s="18"/>
      <c r="D23" s="18"/>
      <c r="E23" s="18"/>
      <c r="F23" s="18"/>
      <c r="G23" s="18"/>
    </row>
    <row r="24" spans="1:7" x14ac:dyDescent="0.25">
      <c r="A24" s="34" t="s">
        <v>136</v>
      </c>
      <c r="B24" s="35"/>
      <c r="C24" s="35"/>
      <c r="D24" s="35"/>
      <c r="E24" s="35"/>
      <c r="F24" s="35"/>
      <c r="G24" s="18"/>
    </row>
    <row r="25" spans="1:7" x14ac:dyDescent="0.25">
      <c r="A25" s="36" t="s">
        <v>138</v>
      </c>
      <c r="B25" s="37"/>
      <c r="C25" s="37"/>
      <c r="D25" s="37"/>
      <c r="E25" s="37"/>
      <c r="F25" s="37"/>
      <c r="G25" s="18"/>
    </row>
    <row r="26" spans="1:7" x14ac:dyDescent="0.25">
      <c r="A26" s="29" t="s">
        <v>153</v>
      </c>
      <c r="B26" s="38"/>
      <c r="C26" s="38"/>
      <c r="D26" s="38"/>
      <c r="E26" s="38"/>
      <c r="F26" s="38"/>
      <c r="G26" s="18"/>
    </row>
    <row r="27" spans="1:7" x14ac:dyDescent="0.25">
      <c r="A27" s="39" t="s">
        <v>155</v>
      </c>
      <c r="B27" s="39"/>
      <c r="C27" s="39"/>
      <c r="D27" s="39"/>
      <c r="E27" s="39"/>
      <c r="F27" s="39"/>
      <c r="G27" s="18"/>
    </row>
    <row r="28" spans="1:7" x14ac:dyDescent="0.25">
      <c r="A28" s="18"/>
      <c r="B28" s="18"/>
      <c r="C28" s="18"/>
      <c r="D28" s="18"/>
      <c r="E28" s="18"/>
      <c r="F28" s="18"/>
      <c r="G28" s="18"/>
    </row>
    <row r="29" spans="1:7" x14ac:dyDescent="0.25">
      <c r="A29" s="18"/>
      <c r="B29" s="18"/>
      <c r="C29" s="18"/>
      <c r="D29" s="18"/>
      <c r="E29" s="18"/>
      <c r="F29" s="18"/>
      <c r="G29" s="18"/>
    </row>
    <row r="30" spans="1:7" x14ac:dyDescent="0.25">
      <c r="A30" s="18"/>
      <c r="B30" s="18"/>
      <c r="C30" s="18"/>
      <c r="D30" s="18"/>
      <c r="E30" s="18"/>
      <c r="F30" s="18"/>
      <c r="G30" s="18"/>
    </row>
  </sheetData>
  <mergeCells count="5">
    <mergeCell ref="E2:I2"/>
    <mergeCell ref="A24:F24"/>
    <mergeCell ref="A25:F25"/>
    <mergeCell ref="B26:F26"/>
    <mergeCell ref="A27:F27"/>
  </mergeCells>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4EFEAA-47B1-4AFF-BB46-551EA88398FD}">
  <sheetPr codeName="Sheet4"/>
  <dimension ref="A1:Q32"/>
  <sheetViews>
    <sheetView workbookViewId="0">
      <selection activeCell="L10" sqref="L10"/>
    </sheetView>
  </sheetViews>
  <sheetFormatPr defaultRowHeight="15" x14ac:dyDescent="0.25"/>
  <cols>
    <col min="1" max="1" width="9.5703125" customWidth="1"/>
    <col min="2" max="2" width="13" customWidth="1"/>
    <col min="3" max="3" width="11.7109375" customWidth="1"/>
    <col min="4" max="4" width="10.42578125" customWidth="1"/>
    <col min="5" max="5" width="15.42578125" customWidth="1"/>
    <col min="6" max="6" width="14" customWidth="1"/>
    <col min="7" max="7" width="12.5703125" bestFit="1" customWidth="1"/>
    <col min="8" max="8" width="15" bestFit="1" customWidth="1"/>
    <col min="9" max="9" width="11.7109375" customWidth="1"/>
    <col min="10" max="10" width="13.85546875" customWidth="1"/>
    <col min="11" max="11" width="10.42578125" customWidth="1"/>
    <col min="12" max="12" width="12.7109375" customWidth="1"/>
    <col min="13" max="13" width="4.28515625" customWidth="1"/>
    <col min="14" max="14" width="11.140625" customWidth="1"/>
    <col min="15" max="15" width="12.5703125" customWidth="1"/>
    <col min="16" max="16" width="12.42578125" customWidth="1"/>
  </cols>
  <sheetData>
    <row r="1" spans="1:17" ht="33" customHeight="1" x14ac:dyDescent="0.25">
      <c r="A1" s="30"/>
      <c r="B1" s="30"/>
      <c r="C1" s="30"/>
      <c r="D1" s="30"/>
      <c r="E1" s="30"/>
      <c r="F1" s="30"/>
      <c r="G1" s="30"/>
      <c r="H1" s="30"/>
      <c r="I1" s="30"/>
      <c r="J1" s="30"/>
      <c r="K1" s="30"/>
      <c r="L1" s="30"/>
      <c r="M1" s="30"/>
      <c r="N1" s="30"/>
      <c r="O1" s="30"/>
    </row>
    <row r="2" spans="1:17" ht="45" x14ac:dyDescent="0.25">
      <c r="A2" t="s">
        <v>133</v>
      </c>
      <c r="B2" s="2" t="s">
        <v>154</v>
      </c>
      <c r="C2" s="2" t="s">
        <v>151</v>
      </c>
      <c r="D2" s="2" t="s">
        <v>152</v>
      </c>
      <c r="E2" s="20" t="s">
        <v>139</v>
      </c>
      <c r="F2" s="2" t="s">
        <v>140</v>
      </c>
      <c r="G2" s="2" t="s">
        <v>141</v>
      </c>
      <c r="H2" s="2" t="s">
        <v>148</v>
      </c>
      <c r="I2" s="2" t="s">
        <v>158</v>
      </c>
      <c r="J2" s="2" t="s">
        <v>147</v>
      </c>
      <c r="K2" s="2" t="s">
        <v>157</v>
      </c>
      <c r="L2" s="2" t="s">
        <v>146</v>
      </c>
      <c r="M2" s="2" t="s">
        <v>46</v>
      </c>
      <c r="N2" s="2" t="s">
        <v>47</v>
      </c>
      <c r="O2" s="2" t="s">
        <v>156</v>
      </c>
      <c r="P2" s="2" t="s">
        <v>159</v>
      </c>
      <c r="Q2" s="2" t="s">
        <v>160</v>
      </c>
    </row>
    <row r="3" spans="1:17" x14ac:dyDescent="0.25">
      <c r="A3">
        <v>1</v>
      </c>
      <c r="B3" s="28">
        <f>Inputs!$B$4</f>
        <v>200000</v>
      </c>
      <c r="C3" s="26">
        <v>0.35</v>
      </c>
      <c r="D3" s="26">
        <v>1</v>
      </c>
      <c r="E3" s="27">
        <f>Inputs!$F$7</f>
        <v>475</v>
      </c>
      <c r="F3" s="21">
        <f>Inputs!$H$5</f>
        <v>123.75</v>
      </c>
      <c r="G3" s="6">
        <f>ScenarioTable[[#This Row],[Permanent Volume (m3)]]+ScenarioTable[[#This Row],[Extended Volume (m3)]]</f>
        <v>598.75</v>
      </c>
      <c r="H3" s="6">
        <f>ScenarioTable[[#This Row],[Pond Perm Vol. (%)]]*ScenarioTable[[#This Row],[Permanent Volume (m3)]]</f>
        <v>166.25</v>
      </c>
      <c r="I3" s="6">
        <f>ScenarioTable[[#This Row],[Permanent Volume (m3)]]-ScenarioTable[[#This Row],[Pond Perm. 
Vol. (m3)]]</f>
        <v>308.75</v>
      </c>
      <c r="J3" s="6">
        <f>ScenarioTable[[#This Row],[Pond Ext. Vol (%)]]*ScenarioTable[[#This Row],[Extended Volume (m3)]]</f>
        <v>123.75</v>
      </c>
      <c r="K3" s="6">
        <f>ScenarioTable[[#This Row],[Extended Volume (m3)]]-ScenarioTable[[#This Row],[Ext. Vol Pond
Vol. (m3)]]</f>
        <v>0</v>
      </c>
      <c r="L3" s="31">
        <f>Inputs!$B$8</f>
        <v>1.5</v>
      </c>
      <c r="M3" s="25">
        <f>(SQRT(256*(L3^4)-((12*L3)*((64/3)*(L3^3)-H3)))-(16*(L3^2)))/(6*L3)</f>
        <v>2.0781941762701561</v>
      </c>
      <c r="N3" s="24">
        <f>(SQRT(((M3+(8*L3))^2)*((3*M3+(8*L3))^2)+(20*((3*M3)+(8*L3))*J3))/(10*((3*M3)+(8*L3))))-((M3+(8*L3))/10)</f>
        <v>0.41954659469446121</v>
      </c>
      <c r="O3" s="23">
        <f>(M3+(8*L3)+(10*N3))*((3*M3)+(8*L3)+(10*N3))/1000</f>
        <v>0.40987908239317983</v>
      </c>
      <c r="P3" s="32">
        <f>ScenarioTable[[#This Row],[Land Cost ($/ha)]]*ScenarioTable[[#This Row],[Pond Land Area (ha)]]</f>
        <v>81975.81647863597</v>
      </c>
      <c r="Q3" s="7"/>
    </row>
    <row r="24" spans="1:8" x14ac:dyDescent="0.25">
      <c r="H24" t="s">
        <v>161</v>
      </c>
    </row>
    <row r="29" spans="1:8" x14ac:dyDescent="0.25">
      <c r="A29" t="s">
        <v>134</v>
      </c>
    </row>
    <row r="30" spans="1:8" x14ac:dyDescent="0.25">
      <c r="A30" t="s">
        <v>135</v>
      </c>
    </row>
    <row r="31" spans="1:8" x14ac:dyDescent="0.25">
      <c r="A31" t="s">
        <v>142</v>
      </c>
    </row>
    <row r="32" spans="1:8" x14ac:dyDescent="0.25">
      <c r="A32" t="s">
        <v>149</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Button 2">
              <controlPr defaultSize="0" print="0" autoFill="0" autoPict="0" macro="[0]!AddScenarioClick">
                <anchor moveWithCells="1" sizeWithCells="1">
                  <from>
                    <xdr:col>0</xdr:col>
                    <xdr:colOff>85725</xdr:colOff>
                    <xdr:row>0</xdr:row>
                    <xdr:rowOff>47625</xdr:rowOff>
                  </from>
                  <to>
                    <xdr:col>1</xdr:col>
                    <xdr:colOff>466725</xdr:colOff>
                    <xdr:row>0</xdr:row>
                    <xdr:rowOff>361950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A83BD-439D-4CF0-B838-9BD9FC7FFF7B}">
  <sheetPr codeName="Sheet3"/>
  <dimension ref="A1:E7"/>
  <sheetViews>
    <sheetView workbookViewId="0">
      <selection activeCell="B54" sqref="B54"/>
    </sheetView>
  </sheetViews>
  <sheetFormatPr defaultRowHeight="15" x14ac:dyDescent="0.25"/>
  <cols>
    <col min="1" max="1" width="25.28515625" bestFit="1" customWidth="1"/>
    <col min="2" max="2" width="40.140625" bestFit="1" customWidth="1"/>
  </cols>
  <sheetData>
    <row r="1" spans="1:5" x14ac:dyDescent="0.25">
      <c r="A1" s="33" t="s">
        <v>32</v>
      </c>
      <c r="B1" s="33"/>
      <c r="C1" s="33"/>
      <c r="D1" s="33"/>
      <c r="E1" s="33"/>
    </row>
    <row r="2" spans="1:5" x14ac:dyDescent="0.25">
      <c r="B2" s="33" t="s">
        <v>31</v>
      </c>
      <c r="C2" s="33"/>
      <c r="D2" s="33"/>
      <c r="E2" s="33"/>
    </row>
    <row r="3" spans="1:5" x14ac:dyDescent="0.25">
      <c r="B3" s="4">
        <v>35</v>
      </c>
      <c r="C3" s="4">
        <v>55</v>
      </c>
      <c r="D3" s="4">
        <v>70</v>
      </c>
      <c r="E3" s="4">
        <v>85</v>
      </c>
    </row>
    <row r="4" spans="1:5" x14ac:dyDescent="0.25">
      <c r="A4" t="s">
        <v>29</v>
      </c>
      <c r="B4">
        <v>25</v>
      </c>
      <c r="C4">
        <v>30</v>
      </c>
      <c r="D4">
        <v>35</v>
      </c>
      <c r="E4">
        <v>40</v>
      </c>
    </row>
    <row r="5" spans="1:5" x14ac:dyDescent="0.25">
      <c r="A5" t="s">
        <v>0</v>
      </c>
      <c r="B5">
        <v>80</v>
      </c>
      <c r="C5">
        <v>105</v>
      </c>
      <c r="D5">
        <v>120</v>
      </c>
      <c r="E5">
        <v>140</v>
      </c>
    </row>
    <row r="6" spans="1:5" x14ac:dyDescent="0.25">
      <c r="A6" t="s">
        <v>1</v>
      </c>
      <c r="B6">
        <v>110</v>
      </c>
      <c r="C6">
        <v>150</v>
      </c>
      <c r="D6">
        <v>175</v>
      </c>
      <c r="E6">
        <v>195</v>
      </c>
    </row>
    <row r="7" spans="1:5" x14ac:dyDescent="0.25">
      <c r="A7" t="s">
        <v>2</v>
      </c>
      <c r="B7">
        <v>140</v>
      </c>
      <c r="C7">
        <v>190</v>
      </c>
      <c r="D7">
        <v>225</v>
      </c>
      <c r="E7">
        <v>250</v>
      </c>
    </row>
  </sheetData>
  <mergeCells count="2">
    <mergeCell ref="A1:E1"/>
    <mergeCell ref="B2:E2"/>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692CB-A5C4-493D-9079-14E14EB0A309}">
  <sheetPr codeName="Sheet10"/>
  <dimension ref="A1:C7"/>
  <sheetViews>
    <sheetView workbookViewId="0">
      <selection activeCell="C2" sqref="C2"/>
    </sheetView>
  </sheetViews>
  <sheetFormatPr defaultRowHeight="15" x14ac:dyDescent="0.25"/>
  <cols>
    <col min="1" max="1" width="81.28515625" bestFit="1" customWidth="1"/>
    <col min="2" max="2" width="24" bestFit="1" customWidth="1"/>
    <col min="3" max="3" width="33.140625" customWidth="1"/>
  </cols>
  <sheetData>
    <row r="1" spans="1:3" x14ac:dyDescent="0.25">
      <c r="A1" t="s">
        <v>17</v>
      </c>
      <c r="B1" t="s">
        <v>116</v>
      </c>
      <c r="C1" t="s">
        <v>123</v>
      </c>
    </row>
    <row r="2" spans="1:3" x14ac:dyDescent="0.25">
      <c r="A2" t="s">
        <v>115</v>
      </c>
      <c r="B2" t="s">
        <v>117</v>
      </c>
      <c r="C2" t="s">
        <v>124</v>
      </c>
    </row>
    <row r="3" spans="1:3" x14ac:dyDescent="0.25">
      <c r="A3" t="s">
        <v>118</v>
      </c>
    </row>
    <row r="4" spans="1:3" x14ac:dyDescent="0.25">
      <c r="A4" t="s">
        <v>119</v>
      </c>
    </row>
    <row r="5" spans="1:3" x14ac:dyDescent="0.25">
      <c r="A5" t="s">
        <v>120</v>
      </c>
    </row>
    <row r="6" spans="1:3" x14ac:dyDescent="0.25">
      <c r="A6" t="s">
        <v>121</v>
      </c>
    </row>
    <row r="7" spans="1:3" x14ac:dyDescent="0.25">
      <c r="A7" t="s">
        <v>122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A1CA6-A882-4C31-8726-F6E2BA39A27F}">
  <sheetPr codeName="Sheet5"/>
  <dimension ref="A1:H43"/>
  <sheetViews>
    <sheetView zoomScale="115" zoomScaleNormal="115" workbookViewId="0">
      <selection activeCell="A15" sqref="A15"/>
    </sheetView>
  </sheetViews>
  <sheetFormatPr defaultRowHeight="15" x14ac:dyDescent="0.25"/>
  <cols>
    <col min="1" max="1" width="43" bestFit="1" customWidth="1"/>
    <col min="2" max="2" width="77.7109375" bestFit="1" customWidth="1"/>
    <col min="8" max="8" width="13.7109375" bestFit="1" customWidth="1"/>
  </cols>
  <sheetData>
    <row r="1" spans="1:8" ht="21" x14ac:dyDescent="0.35">
      <c r="A1" s="11" t="s">
        <v>78</v>
      </c>
      <c r="H1" t="s">
        <v>79</v>
      </c>
    </row>
    <row r="2" spans="1:8" x14ac:dyDescent="0.25">
      <c r="A2" t="s">
        <v>75</v>
      </c>
      <c r="H2" t="s">
        <v>80</v>
      </c>
    </row>
    <row r="3" spans="1:8" x14ac:dyDescent="0.25">
      <c r="A3" t="s">
        <v>76</v>
      </c>
      <c r="H3" t="s">
        <v>81</v>
      </c>
    </row>
    <row r="4" spans="1:8" x14ac:dyDescent="0.25">
      <c r="A4" s="13" t="s">
        <v>3</v>
      </c>
      <c r="H4" t="s">
        <v>82</v>
      </c>
    </row>
    <row r="5" spans="1:8" x14ac:dyDescent="0.25">
      <c r="A5" s="13" t="s">
        <v>4</v>
      </c>
    </row>
    <row r="6" spans="1:8" x14ac:dyDescent="0.25">
      <c r="A6" s="14" t="s">
        <v>77</v>
      </c>
    </row>
    <row r="7" spans="1:8" x14ac:dyDescent="0.25">
      <c r="A7" s="13" t="s">
        <v>86</v>
      </c>
      <c r="B7" t="s">
        <v>91</v>
      </c>
    </row>
    <row r="8" spans="1:8" x14ac:dyDescent="0.25">
      <c r="A8" s="13" t="s">
        <v>87</v>
      </c>
      <c r="B8" t="s">
        <v>92</v>
      </c>
    </row>
    <row r="9" spans="1:8" x14ac:dyDescent="0.25">
      <c r="A9" s="13" t="s">
        <v>88</v>
      </c>
    </row>
    <row r="10" spans="1:8" x14ac:dyDescent="0.25">
      <c r="A10" s="13" t="s">
        <v>89</v>
      </c>
    </row>
    <row r="11" spans="1:8" x14ac:dyDescent="0.25">
      <c r="A11" s="13" t="s">
        <v>90</v>
      </c>
    </row>
    <row r="12" spans="1:8" x14ac:dyDescent="0.25">
      <c r="A12" s="14" t="s">
        <v>165</v>
      </c>
    </row>
    <row r="13" spans="1:8" x14ac:dyDescent="0.25">
      <c r="A13" s="13" t="s">
        <v>166</v>
      </c>
    </row>
    <row r="14" spans="1:8" x14ac:dyDescent="0.25">
      <c r="A14" s="13" t="s">
        <v>167</v>
      </c>
    </row>
    <row r="20" spans="1:1" x14ac:dyDescent="0.25">
      <c r="A20" t="s">
        <v>96</v>
      </c>
    </row>
    <row r="21" spans="1:1" x14ac:dyDescent="0.25">
      <c r="A21" s="12" t="s">
        <v>99</v>
      </c>
    </row>
    <row r="22" spans="1:1" x14ac:dyDescent="0.25">
      <c r="A22" t="s">
        <v>94</v>
      </c>
    </row>
    <row r="23" spans="1:1" x14ac:dyDescent="0.25">
      <c r="A23" t="s">
        <v>95</v>
      </c>
    </row>
    <row r="24" spans="1:1" x14ac:dyDescent="0.25">
      <c r="A24" t="s">
        <v>97</v>
      </c>
    </row>
    <row r="25" spans="1:1" x14ac:dyDescent="0.25">
      <c r="A25" t="s">
        <v>98</v>
      </c>
    </row>
    <row r="26" spans="1:1" x14ac:dyDescent="0.25">
      <c r="A26" t="s">
        <v>100</v>
      </c>
    </row>
    <row r="27" spans="1:1" x14ac:dyDescent="0.25">
      <c r="A27" t="s">
        <v>101</v>
      </c>
    </row>
    <row r="29" spans="1:1" x14ac:dyDescent="0.25">
      <c r="A29" s="12" t="s">
        <v>102</v>
      </c>
    </row>
    <row r="30" spans="1:1" x14ac:dyDescent="0.25">
      <c r="A30" t="s">
        <v>103</v>
      </c>
    </row>
    <row r="31" spans="1:1" x14ac:dyDescent="0.25">
      <c r="A31" t="s">
        <v>104</v>
      </c>
    </row>
    <row r="32" spans="1:1" x14ac:dyDescent="0.25">
      <c r="A32" t="s">
        <v>105</v>
      </c>
    </row>
    <row r="33" spans="1:1" x14ac:dyDescent="0.25">
      <c r="A33" t="s">
        <v>106</v>
      </c>
    </row>
    <row r="34" spans="1:1" x14ac:dyDescent="0.25">
      <c r="A34" t="s">
        <v>107</v>
      </c>
    </row>
    <row r="36" spans="1:1" x14ac:dyDescent="0.25">
      <c r="A36" s="12" t="s">
        <v>108</v>
      </c>
    </row>
    <row r="37" spans="1:1" x14ac:dyDescent="0.25">
      <c r="A37" t="s">
        <v>109</v>
      </c>
    </row>
    <row r="38" spans="1:1" x14ac:dyDescent="0.25">
      <c r="A38" t="s">
        <v>110</v>
      </c>
    </row>
    <row r="39" spans="1:1" x14ac:dyDescent="0.25">
      <c r="A39" t="s">
        <v>111</v>
      </c>
    </row>
    <row r="41" spans="1:1" x14ac:dyDescent="0.25">
      <c r="A41" s="12" t="s">
        <v>112</v>
      </c>
    </row>
    <row r="42" spans="1:1" x14ac:dyDescent="0.25">
      <c r="A42" t="s">
        <v>113</v>
      </c>
    </row>
    <row r="43" spans="1:1" x14ac:dyDescent="0.25">
      <c r="A43" t="s">
        <v>114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8492F-1126-4983-8D1B-0C0720401F50}">
  <sheetPr codeName="Sheet6"/>
  <dimension ref="A1:C12"/>
  <sheetViews>
    <sheetView workbookViewId="0">
      <selection activeCell="C1" sqref="C1"/>
    </sheetView>
  </sheetViews>
  <sheetFormatPr defaultRowHeight="15" x14ac:dyDescent="0.25"/>
  <cols>
    <col min="2" max="2" width="34.42578125" customWidth="1"/>
  </cols>
  <sheetData>
    <row r="1" spans="1:3" x14ac:dyDescent="0.25">
      <c r="A1" t="s">
        <v>5</v>
      </c>
      <c r="C1" s="1" t="s">
        <v>6</v>
      </c>
    </row>
    <row r="2" spans="1:3" x14ac:dyDescent="0.25">
      <c r="B2" t="s">
        <v>7</v>
      </c>
      <c r="C2" t="s">
        <v>8</v>
      </c>
    </row>
    <row r="3" spans="1:3" x14ac:dyDescent="0.25">
      <c r="B3">
        <v>25449</v>
      </c>
      <c r="C3">
        <v>955</v>
      </c>
    </row>
    <row r="4" spans="1:3" x14ac:dyDescent="0.25">
      <c r="B4">
        <v>14962</v>
      </c>
      <c r="C4">
        <v>126</v>
      </c>
    </row>
    <row r="5" spans="1:3" x14ac:dyDescent="0.25">
      <c r="B5">
        <v>20101</v>
      </c>
      <c r="C5">
        <v>126</v>
      </c>
    </row>
    <row r="6" spans="1:3" x14ac:dyDescent="0.25">
      <c r="B6">
        <v>23368</v>
      </c>
      <c r="C6">
        <v>126</v>
      </c>
    </row>
    <row r="7" spans="1:3" x14ac:dyDescent="0.25">
      <c r="B7">
        <v>14420</v>
      </c>
      <c r="C7">
        <v>184</v>
      </c>
    </row>
    <row r="8" spans="1:3" x14ac:dyDescent="0.25">
      <c r="B8">
        <v>33500</v>
      </c>
      <c r="C8">
        <v>1192</v>
      </c>
    </row>
    <row r="12" spans="1:3" x14ac:dyDescent="0.25">
      <c r="A12" s="1" t="s">
        <v>9</v>
      </c>
    </row>
  </sheetData>
  <hyperlinks>
    <hyperlink ref="C1" r:id="rId1" xr:uid="{3E4BE47B-5C59-40D8-A6F2-F088FA27BD47}"/>
    <hyperlink ref="A12" r:id="rId2" xr:uid="{E1D97DF9-B838-4519-AAD4-8A70E57B931B}"/>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348AF-F200-4B39-ADFC-C0623C2C8547}">
  <sheetPr codeName="Sheet9"/>
  <dimension ref="A1:A13"/>
  <sheetViews>
    <sheetView workbookViewId="0">
      <selection activeCell="A14" sqref="A14"/>
    </sheetView>
  </sheetViews>
  <sheetFormatPr defaultRowHeight="15" x14ac:dyDescent="0.25"/>
  <sheetData>
    <row r="1" spans="1:1" x14ac:dyDescent="0.25">
      <c r="A1" t="s">
        <v>13</v>
      </c>
    </row>
    <row r="12" spans="1:1" x14ac:dyDescent="0.25">
      <c r="A12" t="s">
        <v>14</v>
      </c>
    </row>
    <row r="13" spans="1:1" x14ac:dyDescent="0.25">
      <c r="A13" t="s">
        <v>15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72236-5E6D-4F3D-89FA-9EF2E098C807}">
  <sheetPr codeName="Sheet7"/>
  <dimension ref="A1:B12"/>
  <sheetViews>
    <sheetView workbookViewId="0">
      <selection activeCell="B1" sqref="B1"/>
    </sheetView>
  </sheetViews>
  <sheetFormatPr defaultRowHeight="15" x14ac:dyDescent="0.25"/>
  <cols>
    <col min="1" max="1" width="80.5703125" bestFit="1" customWidth="1"/>
    <col min="2" max="2" width="35.140625" bestFit="1" customWidth="1"/>
  </cols>
  <sheetData>
    <row r="1" spans="1:2" x14ac:dyDescent="0.25">
      <c r="A1" t="s">
        <v>19</v>
      </c>
      <c r="B1" s="1" t="s">
        <v>20</v>
      </c>
    </row>
    <row r="5" spans="1:2" x14ac:dyDescent="0.25">
      <c r="A5" t="s">
        <v>73</v>
      </c>
    </row>
    <row r="6" spans="1:2" x14ac:dyDescent="0.25">
      <c r="A6" t="s">
        <v>74</v>
      </c>
    </row>
    <row r="7" spans="1:2" x14ac:dyDescent="0.25">
      <c r="A7" t="s">
        <v>150</v>
      </c>
    </row>
    <row r="11" spans="1:2" x14ac:dyDescent="0.25">
      <c r="A11" t="s">
        <v>54</v>
      </c>
    </row>
    <row r="12" spans="1:2" x14ac:dyDescent="0.25">
      <c r="A12" t="s">
        <v>72</v>
      </c>
    </row>
  </sheetData>
  <hyperlinks>
    <hyperlink ref="B1" r:id="rId1" display="https://stormtrap.com/request-design-budget-form/" xr:uid="{2270F1F0-C74A-40B4-B92A-58D17FA13EB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4EB3B-53A3-4FE2-A614-200E8630E729}">
  <sheetPr codeName="Sheet11"/>
  <dimension ref="A1:C2"/>
  <sheetViews>
    <sheetView workbookViewId="0">
      <selection activeCell="B3" sqref="B3"/>
    </sheetView>
  </sheetViews>
  <sheetFormatPr defaultRowHeight="15" x14ac:dyDescent="0.25"/>
  <cols>
    <col min="1" max="1" width="34.5703125" bestFit="1" customWidth="1"/>
    <col min="2" max="2" width="83.7109375" customWidth="1"/>
    <col min="3" max="3" width="48.5703125" customWidth="1"/>
  </cols>
  <sheetData>
    <row r="1" spans="1:3" x14ac:dyDescent="0.25">
      <c r="A1" s="12" t="s">
        <v>11</v>
      </c>
      <c r="B1" s="12" t="s">
        <v>68</v>
      </c>
      <c r="C1" s="12" t="s">
        <v>84</v>
      </c>
    </row>
    <row r="2" spans="1:3" ht="102.75" customHeight="1" x14ac:dyDescent="0.25">
      <c r="A2" t="s">
        <v>85</v>
      </c>
      <c r="B2" s="2" t="s">
        <v>93</v>
      </c>
      <c r="C2" s="1" t="s">
        <v>83</v>
      </c>
    </row>
  </sheetData>
  <hyperlinks>
    <hyperlink ref="C2" r:id="rId1" display="https://decastltd.com/uploads/1653507522_Final Decast Report.pdf" xr:uid="{1ECFEF66-4D47-4D1C-B48C-E418BDEDCBBE}"/>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7ADDB-1B5D-48A7-83FE-231F2A855E88}">
  <sheetPr codeName="Sheet8"/>
  <dimension ref="A1:L8"/>
  <sheetViews>
    <sheetView topLeftCell="C1" workbookViewId="0">
      <selection activeCell="M12" sqref="M12"/>
    </sheetView>
  </sheetViews>
  <sheetFormatPr defaultRowHeight="15" x14ac:dyDescent="0.25"/>
  <cols>
    <col min="1" max="1" width="25.5703125" bestFit="1" customWidth="1"/>
    <col min="2" max="2" width="96" customWidth="1"/>
    <col min="4" max="4" width="19.42578125" bestFit="1" customWidth="1"/>
    <col min="5" max="5" width="19.42578125" customWidth="1"/>
    <col min="6" max="6" width="14.28515625" bestFit="1" customWidth="1"/>
    <col min="7" max="7" width="14.85546875" bestFit="1" customWidth="1"/>
    <col min="8" max="8" width="14.85546875" customWidth="1"/>
    <col min="9" max="9" width="20.28515625" bestFit="1" customWidth="1"/>
    <col min="10" max="10" width="20.28515625" customWidth="1"/>
  </cols>
  <sheetData>
    <row r="1" spans="1:12" x14ac:dyDescent="0.25">
      <c r="A1" t="s">
        <v>10</v>
      </c>
      <c r="B1" t="s">
        <v>11</v>
      </c>
      <c r="C1" t="s">
        <v>17</v>
      </c>
      <c r="D1" t="s">
        <v>58</v>
      </c>
      <c r="E1" t="s">
        <v>59</v>
      </c>
      <c r="F1" t="s">
        <v>60</v>
      </c>
      <c r="G1" t="s">
        <v>61</v>
      </c>
      <c r="H1" t="s">
        <v>62</v>
      </c>
      <c r="I1" t="s">
        <v>23</v>
      </c>
      <c r="J1" t="s">
        <v>64</v>
      </c>
      <c r="K1" t="s">
        <v>12</v>
      </c>
      <c r="L1" t="s">
        <v>68</v>
      </c>
    </row>
    <row r="2" spans="1:12" ht="30" x14ac:dyDescent="0.25">
      <c r="A2" t="s">
        <v>16</v>
      </c>
      <c r="B2" s="2" t="s">
        <v>21</v>
      </c>
      <c r="C2" t="s">
        <v>18</v>
      </c>
      <c r="D2">
        <v>5.24</v>
      </c>
      <c r="F2">
        <v>1.1890000000000001</v>
      </c>
      <c r="G2">
        <v>2656</v>
      </c>
      <c r="I2">
        <v>48</v>
      </c>
    </row>
    <row r="3" spans="1:12" x14ac:dyDescent="0.25">
      <c r="A3" t="s">
        <v>57</v>
      </c>
      <c r="B3" t="s">
        <v>65</v>
      </c>
      <c r="C3" t="s">
        <v>63</v>
      </c>
      <c r="D3">
        <v>19.03</v>
      </c>
      <c r="E3">
        <v>0.95099999999999996</v>
      </c>
      <c r="F3">
        <v>2.16</v>
      </c>
      <c r="G3">
        <v>6065</v>
      </c>
      <c r="H3">
        <v>4257</v>
      </c>
      <c r="I3">
        <v>49.1</v>
      </c>
      <c r="J3">
        <v>3.7999999999999999E-2</v>
      </c>
    </row>
    <row r="4" spans="1:12" x14ac:dyDescent="0.25">
      <c r="B4" t="s">
        <v>66</v>
      </c>
      <c r="C4" t="s">
        <v>63</v>
      </c>
      <c r="D4">
        <v>7.84</v>
      </c>
      <c r="E4">
        <v>0.70699999999999996</v>
      </c>
      <c r="F4">
        <v>1.3</v>
      </c>
      <c r="G4">
        <v>5308</v>
      </c>
      <c r="H4">
        <v>1649</v>
      </c>
      <c r="I4">
        <v>53.1</v>
      </c>
      <c r="J4">
        <v>1.4E-2</v>
      </c>
    </row>
    <row r="5" spans="1:12" x14ac:dyDescent="0.25">
      <c r="B5" t="s">
        <v>67</v>
      </c>
      <c r="C5" t="s">
        <v>63</v>
      </c>
      <c r="D5">
        <v>10.16</v>
      </c>
      <c r="E5">
        <v>0.82899999999999996</v>
      </c>
      <c r="F5">
        <v>0.82</v>
      </c>
      <c r="G5">
        <v>2325</v>
      </c>
      <c r="H5">
        <v>1380</v>
      </c>
      <c r="I5">
        <v>48.2</v>
      </c>
      <c r="J5">
        <v>1.2999999999999999E-2</v>
      </c>
      <c r="L5" t="s">
        <v>69</v>
      </c>
    </row>
    <row r="6" spans="1:12" x14ac:dyDescent="0.25">
      <c r="B6" t="s">
        <v>70</v>
      </c>
      <c r="C6" t="s">
        <v>63</v>
      </c>
      <c r="D6">
        <v>36.35</v>
      </c>
      <c r="E6">
        <v>0.71599999999999997</v>
      </c>
      <c r="F6">
        <v>2.2400000000000002</v>
      </c>
      <c r="G6">
        <v>7929</v>
      </c>
      <c r="H6">
        <v>6326</v>
      </c>
      <c r="I6">
        <v>49.2</v>
      </c>
      <c r="J6">
        <v>5.6000000000000001E-2</v>
      </c>
    </row>
    <row r="7" spans="1:12" x14ac:dyDescent="0.25">
      <c r="B7" t="s">
        <v>71</v>
      </c>
      <c r="C7" t="s">
        <v>63</v>
      </c>
      <c r="D7">
        <v>28.64</v>
      </c>
      <c r="E7">
        <v>0.70299999999999996</v>
      </c>
      <c r="F7">
        <v>2.1</v>
      </c>
      <c r="G7">
        <v>11150</v>
      </c>
      <c r="H7">
        <v>5407</v>
      </c>
      <c r="I7">
        <v>52</v>
      </c>
      <c r="J7">
        <v>4.2999999999999997E-2</v>
      </c>
    </row>
    <row r="8" spans="1:12" x14ac:dyDescent="0.25">
      <c r="A8" t="s">
        <v>125</v>
      </c>
      <c r="B8" t="s">
        <v>126</v>
      </c>
      <c r="C8" t="s">
        <v>18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C271D-9224-492E-85E1-DACE3FA4EB9C}">
  <sheetPr codeName="Sheet2">
    <tabColor theme="5" tint="-0.249977111117893"/>
  </sheetPr>
  <dimension ref="A1:N6"/>
  <sheetViews>
    <sheetView topLeftCell="O1" workbookViewId="0">
      <selection activeCell="N4" sqref="N4"/>
    </sheetView>
  </sheetViews>
  <sheetFormatPr defaultRowHeight="15" x14ac:dyDescent="0.25"/>
  <cols>
    <col min="1" max="1" width="27.42578125" customWidth="1"/>
    <col min="2" max="3" width="19.7109375" bestFit="1" customWidth="1"/>
    <col min="5" max="5" width="32.5703125" customWidth="1"/>
    <col min="6" max="6" width="30.5703125" customWidth="1"/>
    <col min="7" max="7" width="13.85546875" bestFit="1" customWidth="1"/>
    <col min="8" max="8" width="18" bestFit="1" customWidth="1"/>
    <col min="9" max="11" width="18" customWidth="1"/>
    <col min="12" max="12" width="13.85546875" bestFit="1" customWidth="1"/>
  </cols>
  <sheetData>
    <row r="1" spans="1:14" x14ac:dyDescent="0.25">
      <c r="B1" s="33" t="s">
        <v>45</v>
      </c>
      <c r="C1" s="33"/>
      <c r="D1" s="33"/>
      <c r="E1" s="33"/>
      <c r="F1" s="33"/>
      <c r="G1" s="33"/>
      <c r="H1" s="33"/>
      <c r="I1" s="3"/>
      <c r="J1" s="3"/>
      <c r="K1" s="3"/>
    </row>
    <row r="2" spans="1:14" x14ac:dyDescent="0.25">
      <c r="A2" t="s">
        <v>17</v>
      </c>
      <c r="B2" t="s">
        <v>38</v>
      </c>
      <c r="C2" t="s">
        <v>39</v>
      </c>
      <c r="D2" t="s">
        <v>40</v>
      </c>
      <c r="E2" t="s">
        <v>41</v>
      </c>
      <c r="F2" t="s">
        <v>42</v>
      </c>
      <c r="G2" t="s">
        <v>43</v>
      </c>
      <c r="H2" t="s">
        <v>44</v>
      </c>
      <c r="I2" t="s">
        <v>49</v>
      </c>
      <c r="J2" t="s">
        <v>50</v>
      </c>
      <c r="K2" t="s">
        <v>51</v>
      </c>
      <c r="L2" t="s">
        <v>46</v>
      </c>
      <c r="M2" t="s">
        <v>47</v>
      </c>
      <c r="N2" t="s">
        <v>48</v>
      </c>
    </row>
    <row r="3" spans="1:14" x14ac:dyDescent="0.25">
      <c r="A3" t="s">
        <v>33</v>
      </c>
      <c r="B3">
        <f>_xlfn.XLOOKUP(Inputs!$B$3,'Pond Sizing Estimate Table'!$B$3:$E$3,'Pond Sizing Estimate Table'!$B$3:$E$3,,-1,1)</f>
        <v>35</v>
      </c>
      <c r="C3">
        <f>_xlfn.XLOOKUP(Inputs!$B$3,'Pond Sizing Estimate Table'!$B$3:$E$3,'Pond Sizing Estimate Table'!$B$3:$E$3,,1,1)</f>
        <v>55</v>
      </c>
      <c r="D3">
        <f>_xlfn.XLOOKUP(Inputs!$B$3,'Pond Sizing Estimate Table'!$B$3:$E$3,'Pond Sizing Estimate Table'!$B4:$E4,,-1,1)</f>
        <v>25</v>
      </c>
      <c r="E3">
        <f>_xlfn.XLOOKUP(Inputs!$B$3,'Pond Sizing Estimate Table'!$B$3:$E$3,'Pond Sizing Estimate Table'!$B4:$E4,,1,1)</f>
        <v>30</v>
      </c>
      <c r="F3">
        <f>(Inputs!$B$3-HelperSheet!B3)/(HelperSheet!C3-HelperSheet!B3)</f>
        <v>0.25</v>
      </c>
      <c r="G3">
        <f>E3-D3</f>
        <v>5</v>
      </c>
      <c r="H3">
        <f>B3+(F3*G3)</f>
        <v>36.25</v>
      </c>
    </row>
    <row r="4" spans="1:14" x14ac:dyDescent="0.25">
      <c r="A4" t="s">
        <v>0</v>
      </c>
      <c r="B4">
        <f>_xlfn.XLOOKUP(Inputs!$B$3,'Pond Sizing Estimate Table'!$B$3:$E$3,'Pond Sizing Estimate Table'!$B$3:$E$3,,-1,1)</f>
        <v>35</v>
      </c>
      <c r="C4">
        <f>_xlfn.XLOOKUP(Inputs!$B$3,'Pond Sizing Estimate Table'!$B$3:$E$3,'Pond Sizing Estimate Table'!$B$3:$E$3,,1,1)</f>
        <v>55</v>
      </c>
      <c r="D4">
        <f>_xlfn.XLOOKUP(Inputs!$B$3,'Pond Sizing Estimate Table'!$B$3:$E$3,'Pond Sizing Estimate Table'!$B5:$E5,,-1,1)</f>
        <v>80</v>
      </c>
      <c r="E4">
        <f>_xlfn.XLOOKUP(Inputs!$B$3,'Pond Sizing Estimate Table'!$B$3:$E$3,'Pond Sizing Estimate Table'!$B5:$E5,,1,1)</f>
        <v>105</v>
      </c>
      <c r="F4">
        <f>(Inputs!$B$3-HelperSheet!B4)/(HelperSheet!C4-HelperSheet!B4)</f>
        <v>0.25</v>
      </c>
      <c r="G4">
        <f t="shared" ref="G4:G6" si="0">E4-D4</f>
        <v>25</v>
      </c>
      <c r="H4">
        <f t="shared" ref="H4:H6" si="1">B4+(F4*G4)</f>
        <v>41.25</v>
      </c>
      <c r="I4" s="5">
        <f>Inputs!G5</f>
        <v>1.5</v>
      </c>
      <c r="J4" s="5">
        <f>Inputs!F5</f>
        <v>412.5</v>
      </c>
      <c r="K4" s="5">
        <f>Inputs!H5</f>
        <v>123.75</v>
      </c>
      <c r="L4">
        <f xml:space="preserve"> (SQRT(256*(I4^4)-((12*I4)*((64/3)*(I4^3)-J4)))-(16*(I4^2)))/(6*I4)</f>
        <v>5.574271077563381</v>
      </c>
      <c r="M4">
        <f xml:space="preserve"> (SQRT(((L4+(8*I4))^2)*((3*L4+(8*I4))^2)+(20*((3*L4)+(8*I4))*K4))/(10*((3*L4)+(8*I4))))-((L4+(8*I4))/10)</f>
        <v>0.23009256159476332</v>
      </c>
      <c r="N4">
        <f xml:space="preserve"> (L4+(8*I4)+(10*M4))*((3*L4)+(8*I4)+(10*M4))</f>
        <v>616.60291178479474</v>
      </c>
    </row>
    <row r="5" spans="1:14" x14ac:dyDescent="0.25">
      <c r="A5" t="s">
        <v>34</v>
      </c>
      <c r="B5">
        <f>_xlfn.XLOOKUP(Inputs!$B$3,'Pond Sizing Estimate Table'!$B$3:$E$3,'Pond Sizing Estimate Table'!$B$3:$E$3,,-1,1)</f>
        <v>35</v>
      </c>
      <c r="C5">
        <f>_xlfn.XLOOKUP(Inputs!$B$3,'Pond Sizing Estimate Table'!$B$3:$E$3,'Pond Sizing Estimate Table'!$B$3:$E$3,,1,1)</f>
        <v>55</v>
      </c>
      <c r="D5">
        <f>_xlfn.XLOOKUP(Inputs!$B$3,'Pond Sizing Estimate Table'!$B$3:$E$3,'Pond Sizing Estimate Table'!$B6:$E6,,-1,1)</f>
        <v>110</v>
      </c>
      <c r="E5">
        <f>_xlfn.XLOOKUP(Inputs!$B$3,'Pond Sizing Estimate Table'!$B$3:$E$3,'Pond Sizing Estimate Table'!$B6:$E6,,1,1)</f>
        <v>150</v>
      </c>
      <c r="F5">
        <f>(Inputs!$B$3-HelperSheet!B5)/(HelperSheet!C5-HelperSheet!B5)</f>
        <v>0.25</v>
      </c>
      <c r="G5">
        <f t="shared" si="0"/>
        <v>40</v>
      </c>
      <c r="H5">
        <f t="shared" si="1"/>
        <v>45</v>
      </c>
      <c r="I5" s="5">
        <f>Inputs!G6</f>
        <v>1.5</v>
      </c>
      <c r="J5" s="5">
        <f>Inputs!F6</f>
        <v>450</v>
      </c>
      <c r="K5" s="5">
        <f>Inputs!H6</f>
        <v>135</v>
      </c>
      <c r="L5">
        <f xml:space="preserve"> (SQRT(256*(I5^4)-((12*I5)*((64/3)*(I5^3)-J5)))-(16*(I5^2)))/(6*I5)</f>
        <v>6</v>
      </c>
      <c r="M5">
        <f t="shared" ref="M5:M6" si="2" xml:space="preserve"> (SQRT(((L5+(8*I5))^2)*((3*L5+(8*I5))^2)+(20*((3*L5)+(8*I5))*K5))/(10*((3*L5)+(8*I5))))-((L5+(8*I5))/10)</f>
        <v>0.2346989949375804</v>
      </c>
      <c r="N5">
        <f t="shared" ref="N5:N6" si="3" xml:space="preserve"> (L5+(8*I5)+(10*M5))*((3*L5)+(8*I5)+(10*M5))</f>
        <v>658.16387939250956</v>
      </c>
    </row>
    <row r="6" spans="1:14" x14ac:dyDescent="0.25">
      <c r="A6" t="s">
        <v>35</v>
      </c>
      <c r="B6">
        <f>_xlfn.XLOOKUP(Inputs!$B$3,'Pond Sizing Estimate Table'!$B$3:$E$3,'Pond Sizing Estimate Table'!$B$3:$E$3,,-1,1)</f>
        <v>35</v>
      </c>
      <c r="C6">
        <f>_xlfn.XLOOKUP(Inputs!$B$3,'Pond Sizing Estimate Table'!$B$3:$E$3,'Pond Sizing Estimate Table'!$B$3:$E$3,,1,1)</f>
        <v>55</v>
      </c>
      <c r="D6">
        <f>_xlfn.XLOOKUP(Inputs!$B$3,'Pond Sizing Estimate Table'!$B$3:$E$3,'Pond Sizing Estimate Table'!$B7:$E7,,-1,1)</f>
        <v>140</v>
      </c>
      <c r="E6">
        <f>_xlfn.XLOOKUP(Inputs!$B$3,'Pond Sizing Estimate Table'!$B$3:$E$3,'Pond Sizing Estimate Table'!$B7:$E7,,1,1)</f>
        <v>190</v>
      </c>
      <c r="F6">
        <f>(Inputs!$B$3-HelperSheet!B6)/(HelperSheet!C6-HelperSheet!B6)</f>
        <v>0.25</v>
      </c>
      <c r="G6">
        <f t="shared" si="0"/>
        <v>50</v>
      </c>
      <c r="H6">
        <f t="shared" si="1"/>
        <v>47.5</v>
      </c>
      <c r="I6" s="5">
        <f>Inputs!G7</f>
        <v>1.5</v>
      </c>
      <c r="J6" s="5">
        <f>Inputs!F7</f>
        <v>475</v>
      </c>
      <c r="K6" s="5">
        <f>Inputs!H7</f>
        <v>142.5</v>
      </c>
      <c r="L6">
        <f xml:space="preserve"> (SQRT(256*(I6^4)-((12*I6)*((64/3)*(I6^3)-J6)))-(16*(I6^2)))/(6*I6)</f>
        <v>6.2740233382816273</v>
      </c>
      <c r="M6">
        <f t="shared" si="2"/>
        <v>0.23755805081023551</v>
      </c>
      <c r="N6">
        <f t="shared" si="3"/>
        <v>685.51833192956246</v>
      </c>
    </row>
  </sheetData>
  <mergeCells count="1">
    <mergeCell ref="B1:H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Inputs</vt:lpstr>
      <vt:lpstr>Scenarios</vt:lpstr>
      <vt:lpstr>Pond Sizing Estimate Table</vt:lpstr>
      <vt:lpstr>SWMF Types</vt:lpstr>
      <vt:lpstr>Evaluation Factors</vt:lpstr>
      <vt:lpstr>Case Studies</vt:lpstr>
      <vt:lpstr>ProsCons</vt:lpstr>
      <vt:lpstr>QuestionsNotes</vt:lpstr>
      <vt:lpstr>Reference Materials</vt:lpstr>
      <vt:lpstr>SWMF Compiled</vt:lpstr>
      <vt:lpstr>HelperSheet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Amber Brasher</dc:creator>
  <cp:keywords/>
  <dc:description/>
  <cp:lastModifiedBy>Amber Brasher</cp:lastModifiedBy>
  <cp:revision/>
  <dcterms:created xsi:type="dcterms:W3CDTF">2022-06-13T15:27:18Z</dcterms:created>
  <dcterms:modified xsi:type="dcterms:W3CDTF">2022-07-05T14:51:40Z</dcterms:modified>
  <cp:category/>
  <cp:contentStatus/>
</cp:coreProperties>
</file>